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ial" sheetId="1" state="visible" r:id="rId1"/>
    <sheet name="Parale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da multiplicação de matrizes (em relação à versão sequencial)</a:t>
            </a:r>
          </a:p>
        </rich>
      </tx>
    </title>
    <plotArea>
      <lineChart>
        <grouping val="standard"/>
        <ser>
          <idx val="0"/>
          <order val="0"/>
          <tx>
            <strRef>
              <f>'Paralela'!F8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'Paralela'!$A$9:$A$14</f>
            </numRef>
          </cat>
          <val>
            <numRef>
              <f>'Paralela'!$F$9:$F$14</f>
            </numRef>
          </val>
        </ser>
        <ser>
          <idx val="1"/>
          <order val="1"/>
          <tx>
            <strRef>
              <f>'Paralela'!G8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'Paralela'!$A$9:$A$14</f>
            </numRef>
          </cat>
          <val>
            <numRef>
              <f>'Paralela'!$G$9:$G$14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Número de 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</cols>
  <sheetData>
    <row r="1">
      <c r="A1" s="1" t="inlineStr">
        <is>
          <t>Exercício 3 – Multiplicação de matrizes 2048x2048 – Versão sequencial</t>
        </is>
      </c>
    </row>
    <row r="2">
      <c r="A2" s="2" t="inlineStr">
        <is>
          <t>Ambiente: GitHub Codespaces – AMD EPYC 9V74, 2 núcleos físicos com SMT (4 threads de hardware), 16 GB RAM – gcc -O2 -fopenmp</t>
        </is>
      </c>
    </row>
    <row r="3">
      <c r="A3" s="2" t="inlineStr">
        <is>
          <t>Técnicas de cache: ordem de laços i-k-j + blocagem (tiling) com blocos 64x64</t>
        </is>
      </c>
    </row>
    <row r="4">
      <c r="A4" s="2" t="inlineStr">
        <is>
          <t>Média = média das 3 execuções.</t>
        </is>
      </c>
    </row>
    <row r="6">
      <c r="A6" s="3" t="inlineStr">
        <is>
          <t>A versão sequencial não usa threads; seu tempo médio é a referência do speedup.</t>
        </is>
      </c>
    </row>
    <row r="8">
      <c r="A8" s="4" t="inlineStr">
        <is>
          <t>Versão</t>
        </is>
      </c>
      <c r="B8" s="4" t="inlineStr">
        <is>
          <t>N</t>
        </is>
      </c>
      <c r="C8" s="4" t="inlineStr">
        <is>
          <t>t1 (s)</t>
        </is>
      </c>
      <c r="D8" s="4" t="inlineStr">
        <is>
          <t>t2 (s)</t>
        </is>
      </c>
      <c r="E8" s="4" t="inlineStr">
        <is>
          <t>t3 (s)</t>
        </is>
      </c>
      <c r="F8" s="4" t="inlineStr">
        <is>
          <t>Média (s)</t>
        </is>
      </c>
      <c r="G8" s="4" t="inlineStr">
        <is>
          <t>Checksum</t>
        </is>
      </c>
    </row>
    <row r="9">
      <c r="A9" s="5" t="inlineStr">
        <is>
          <t>Sequencial</t>
        </is>
      </c>
      <c r="B9" s="5" t="n">
        <v>2048</v>
      </c>
      <c r="C9" s="6" t="n">
        <v>3.57245</v>
      </c>
      <c r="D9" s="6" t="n">
        <v>3.545996</v>
      </c>
      <c r="E9" s="6" t="n">
        <v>3.521688</v>
      </c>
      <c r="F9" s="6">
        <f>AVERAGE(C9:E9)</f>
        <v/>
      </c>
      <c r="G9" s="7" t="n">
        <v>89308479485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7" customWidth="1" min="7" max="7"/>
    <col width="11" customWidth="1" min="8" max="8"/>
    <col width="16" customWidth="1" min="9" max="9"/>
  </cols>
  <sheetData>
    <row r="1">
      <c r="A1" s="1" t="inlineStr">
        <is>
          <t>Exercício 3 – Multiplicação de matrizes 2048x2048 – Versão paralela (OpenMP)</t>
        </is>
      </c>
    </row>
    <row r="2">
      <c r="A2" s="2" t="inlineStr">
        <is>
          <t>Ambiente: GitHub Codespaces – AMD EPYC 9V74, 2 núcleos físicos com SMT (4 threads de hardware), 16 GB RAM – gcc -O2 -fopenmp</t>
        </is>
      </c>
    </row>
    <row r="3">
      <c r="A3" s="2" t="inlineStr">
        <is>
          <t>Técnicas de cache: ordem de laços i-k-j + blocagem (tiling) com blocos 64x64</t>
        </is>
      </c>
    </row>
    <row r="4">
      <c r="A4" s="2" t="inlineStr">
        <is>
          <t>Média = média das 3 execuções.</t>
        </is>
      </c>
    </row>
    <row r="6">
      <c r="A6" s="3" t="inlineStr">
        <is>
          <t>Speedup = T(sequencial) / T(p threads). Paralelização: #pragma omp parallel for schedule(dynamic) no laço dos blocos de linhas.</t>
        </is>
      </c>
    </row>
    <row r="8">
      <c r="A8" s="4" t="inlineStr">
        <is>
          <t>Threads</t>
        </is>
      </c>
      <c r="B8" s="4" t="inlineStr">
        <is>
          <t>t1 (s)</t>
        </is>
      </c>
      <c r="C8" s="4" t="inlineStr">
        <is>
          <t>t2 (s)</t>
        </is>
      </c>
      <c r="D8" s="4" t="inlineStr">
        <is>
          <t>t3 (s)</t>
        </is>
      </c>
      <c r="E8" s="4" t="inlineStr">
        <is>
          <t>Média (s)</t>
        </is>
      </c>
      <c r="F8" s="4" t="inlineStr">
        <is>
          <t>Speedup</t>
        </is>
      </c>
      <c r="G8" s="4" t="inlineStr">
        <is>
          <t>Ideal</t>
        </is>
      </c>
      <c r="H8" s="4" t="inlineStr">
        <is>
          <t>Eficiência</t>
        </is>
      </c>
      <c r="I8" s="4" t="inlineStr">
        <is>
          <t>Checksum</t>
        </is>
      </c>
    </row>
    <row r="9">
      <c r="A9" s="5" t="n">
        <v>1</v>
      </c>
      <c r="B9" s="6" t="n">
        <v>3.561136</v>
      </c>
      <c r="C9" s="6" t="n">
        <v>3.564657</v>
      </c>
      <c r="D9" s="6" t="n">
        <v>3.470261</v>
      </c>
      <c r="E9" s="6">
        <f>AVERAGE(B9:D9)</f>
        <v/>
      </c>
      <c r="F9" s="8">
        <f>Sequencial!$F$9/E9</f>
        <v/>
      </c>
      <c r="G9" s="5">
        <f>A9</f>
        <v/>
      </c>
      <c r="H9" s="9">
        <f>F9/A9</f>
        <v/>
      </c>
      <c r="I9" s="7" t="n">
        <v>89308479485</v>
      </c>
    </row>
    <row r="10">
      <c r="A10" s="10" t="n">
        <v>2</v>
      </c>
      <c r="B10" s="11" t="n">
        <v>1.871014</v>
      </c>
      <c r="C10" s="11" t="n">
        <v>1.750214</v>
      </c>
      <c r="D10" s="11" t="n">
        <v>1.844633</v>
      </c>
      <c r="E10" s="11">
        <f>AVERAGE(B10:D10)</f>
        <v/>
      </c>
      <c r="F10" s="12">
        <f>Sequencial!$F$9/E10</f>
        <v/>
      </c>
      <c r="G10" s="10">
        <f>A10</f>
        <v/>
      </c>
      <c r="H10" s="13">
        <f>F10/A10</f>
        <v/>
      </c>
      <c r="I10" s="14" t="n">
        <v>89308479485</v>
      </c>
    </row>
    <row r="11">
      <c r="A11" s="5" t="n">
        <v>3</v>
      </c>
      <c r="B11" s="6" t="n">
        <v>1.858872</v>
      </c>
      <c r="C11" s="6" t="n">
        <v>1.796127</v>
      </c>
      <c r="D11" s="6" t="n">
        <v>1.796025</v>
      </c>
      <c r="E11" s="6">
        <f>AVERAGE(B11:D11)</f>
        <v/>
      </c>
      <c r="F11" s="8">
        <f>Sequencial!$F$9/E11</f>
        <v/>
      </c>
      <c r="G11" s="5">
        <f>A11</f>
        <v/>
      </c>
      <c r="H11" s="9">
        <f>F11/A11</f>
        <v/>
      </c>
      <c r="I11" s="7" t="n">
        <v>89308479485</v>
      </c>
    </row>
    <row r="12">
      <c r="A12" s="10" t="n">
        <v>4</v>
      </c>
      <c r="B12" s="11" t="n">
        <v>1.840815</v>
      </c>
      <c r="C12" s="11" t="n">
        <v>1.820758</v>
      </c>
      <c r="D12" s="11" t="n">
        <v>1.816031</v>
      </c>
      <c r="E12" s="11">
        <f>AVERAGE(B12:D12)</f>
        <v/>
      </c>
      <c r="F12" s="12">
        <f>Sequencial!$F$9/E12</f>
        <v/>
      </c>
      <c r="G12" s="10">
        <f>A12</f>
        <v/>
      </c>
      <c r="H12" s="13">
        <f>F12/A12</f>
        <v/>
      </c>
      <c r="I12" s="14" t="n">
        <v>89308479485</v>
      </c>
    </row>
    <row r="13">
      <c r="A13" s="5" t="n">
        <v>5</v>
      </c>
      <c r="B13" s="6" t="n">
        <v>1.803509</v>
      </c>
      <c r="C13" s="6" t="n">
        <v>1.760117</v>
      </c>
      <c r="D13" s="6" t="n">
        <v>1.770943</v>
      </c>
      <c r="E13" s="6">
        <f>AVERAGE(B13:D13)</f>
        <v/>
      </c>
      <c r="F13" s="8">
        <f>Sequencial!$F$9/E13</f>
        <v/>
      </c>
      <c r="G13" s="5">
        <f>A13</f>
        <v/>
      </c>
      <c r="H13" s="9">
        <f>F13/A13</f>
        <v/>
      </c>
      <c r="I13" s="7" t="n">
        <v>89308479485</v>
      </c>
    </row>
    <row r="14">
      <c r="A14" s="10" t="n">
        <v>6</v>
      </c>
      <c r="B14" s="11" t="n">
        <v>1.810507</v>
      </c>
      <c r="C14" s="11" t="n">
        <v>1.83157</v>
      </c>
      <c r="D14" s="11" t="n">
        <v>1.786861</v>
      </c>
      <c r="E14" s="11">
        <f>AVERAGE(B14:D14)</f>
        <v/>
      </c>
      <c r="F14" s="12">
        <f>Sequencial!$F$9/E14</f>
        <v/>
      </c>
      <c r="G14" s="10">
        <f>A14</f>
        <v/>
      </c>
      <c r="H14" s="13">
        <f>F14/A14</f>
        <v/>
      </c>
      <c r="I14" s="14" t="n">
        <v>89308479485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2026-10-16T20:33:32Z</dcterms:created>
  <dcterms:modified xsi:type="dcterms:W3CDTF">2026-10-16T20:33:32Z</dcterms:modified>
</cp:coreProperties>
</file>