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Re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1F4E78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– escalabilidade forte (critical)</a:t>
            </a:r>
          </a:p>
        </rich>
      </tx>
    </title>
    <plotArea>
      <lineChart>
        <grouping val="standard"/>
        <ser>
          <idx val="0"/>
          <order val="0"/>
          <tx>
            <strRef>
              <f>'Critical'!N6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'Critical'!$A$7:$A$12</f>
            </numRef>
          </cat>
          <val>
            <numRef>
              <f>'Critical'!$N$7:$N$12</f>
            </numRef>
          </val>
        </ser>
        <ser>
          <idx val="1"/>
          <order val="1"/>
          <tx>
            <strRef>
              <f>'Critical'!O6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'Critical'!$A$7:$A$12</f>
            </numRef>
          </cat>
          <val>
            <numRef>
              <f>'Critical'!$O$7:$O$12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Número de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escalado – escalabilidade fraca (critical)</a:t>
            </a:r>
          </a:p>
        </rich>
      </tx>
    </title>
    <plotArea>
      <lineChart>
        <grouping val="standard"/>
        <ser>
          <idx val="0"/>
          <order val="0"/>
          <tx>
            <strRef>
              <f>'Critical'!N16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'Critical'!$A$17:$A$22</f>
            </numRef>
          </cat>
          <val>
            <numRef>
              <f>'Critical'!$N$17:$N$22</f>
            </numRef>
          </val>
        </ser>
        <ser>
          <idx val="1"/>
          <order val="1"/>
          <tx>
            <strRef>
              <f>'Critical'!O16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'Critical'!$A$17:$A$22</f>
            </numRef>
          </cat>
          <val>
            <numRef>
              <f>'Critical'!$O$17:$O$22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Número de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escalado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– escalabilidade forte (reduction)</a:t>
            </a:r>
          </a:p>
        </rich>
      </tx>
    </title>
    <plotArea>
      <lineChart>
        <grouping val="standard"/>
        <ser>
          <idx val="0"/>
          <order val="0"/>
          <tx>
            <strRef>
              <f>'Reduction'!N6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'Reduction'!$A$7:$A$12</f>
            </numRef>
          </cat>
          <val>
            <numRef>
              <f>'Reduction'!$N$7:$N$12</f>
            </numRef>
          </val>
        </ser>
        <ser>
          <idx val="1"/>
          <order val="1"/>
          <tx>
            <strRef>
              <f>'Reduction'!O6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'Reduction'!$A$7:$A$12</f>
            </numRef>
          </cat>
          <val>
            <numRef>
              <f>'Reduction'!$O$7:$O$12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Número de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Speedup escalado – escalabilidade fraca (reduction)</a:t>
            </a:r>
          </a:p>
        </rich>
      </tx>
    </title>
    <plotArea>
      <lineChart>
        <grouping val="standard"/>
        <ser>
          <idx val="0"/>
          <order val="0"/>
          <tx>
            <strRef>
              <f>'Reduction'!N16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'Reduction'!$A$17:$A$22</f>
            </numRef>
          </cat>
          <val>
            <numRef>
              <f>'Reduction'!$N$17:$N$22</f>
            </numRef>
          </val>
        </ser>
        <ser>
          <idx val="1"/>
          <order val="1"/>
          <tx>
            <strRef>
              <f>'Reduction'!O16</f>
            </strRef>
          </tx>
          <spPr>
            <a:ln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'Reduction'!$A$17:$A$22</f>
            </numRef>
          </cat>
          <val>
            <numRef>
              <f>'Reduction'!$O$17:$O$22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Número de threads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Speedup escalado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24</row>
      <rowOff>0</rowOff>
    </from>
    <ext cx="468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6" customWidth="1" min="14" max="14"/>
    <col width="7" customWidth="1" min="15" max="15"/>
    <col width="11" customWidth="1" min="16" max="16"/>
    <col width="16" customWidth="1" min="17" max="17"/>
  </cols>
  <sheetData>
    <row r="1">
      <c r="A1" s="1" t="inlineStr">
        <is>
          <t>Exercício 2 – Somatório de vetor – Versão A – omp for + critical</t>
        </is>
      </c>
    </row>
    <row r="2">
      <c r="A2" s="2" t="inlineStr">
        <is>
          <t>Ambiente: GitHub Codespaces – AMD EPYC 7763, 2 núcleos físicos com SMT (4 threads de hardware), 16 GB RAM – gcc -O2 -fopenmp</t>
        </is>
      </c>
    </row>
    <row r="3">
      <c r="A3" s="2" t="inlineStr">
        <is>
          <t>Cada valor de tempo é uma execução; Média = média das 10 execuções.</t>
        </is>
      </c>
    </row>
    <row r="5">
      <c r="A5" s="3" t="inlineStr">
        <is>
          <t>Escalabilidade FORTE – N fixo = 2^30 (Speedup = T1 / Tp)</t>
        </is>
      </c>
    </row>
    <row r="6">
      <c r="A6" s="4" t="inlineStr">
        <is>
          <t>Threads</t>
        </is>
      </c>
      <c r="B6" s="4" t="inlineStr">
        <is>
          <t>N (elementos)</t>
        </is>
      </c>
      <c r="C6" s="4" t="inlineStr">
        <is>
          <t>t1 (s)</t>
        </is>
      </c>
      <c r="D6" s="4" t="inlineStr">
        <is>
          <t>t2 (s)</t>
        </is>
      </c>
      <c r="E6" s="4" t="inlineStr">
        <is>
          <t>t3 (s)</t>
        </is>
      </c>
      <c r="F6" s="4" t="inlineStr">
        <is>
          <t>t4 (s)</t>
        </is>
      </c>
      <c r="G6" s="4" t="inlineStr">
        <is>
          <t>t5 (s)</t>
        </is>
      </c>
      <c r="H6" s="4" t="inlineStr">
        <is>
          <t>t6 (s)</t>
        </is>
      </c>
      <c r="I6" s="4" t="inlineStr">
        <is>
          <t>t7 (s)</t>
        </is>
      </c>
      <c r="J6" s="4" t="inlineStr">
        <is>
          <t>t8 (s)</t>
        </is>
      </c>
      <c r="K6" s="4" t="inlineStr">
        <is>
          <t>t9 (s)</t>
        </is>
      </c>
      <c r="L6" s="4" t="inlineStr">
        <is>
          <t>t10 (s)</t>
        </is>
      </c>
      <c r="M6" s="4" t="inlineStr">
        <is>
          <t>Média (s)</t>
        </is>
      </c>
      <c r="N6" s="4" t="inlineStr">
        <is>
          <t>Speedup forte</t>
        </is>
      </c>
      <c r="O6" s="4" t="inlineStr">
        <is>
          <t>Ideal</t>
        </is>
      </c>
      <c r="P6" s="4" t="inlineStr">
        <is>
          <t>Eficiência</t>
        </is>
      </c>
      <c r="Q6" s="4" t="inlineStr">
        <is>
          <t>Soma</t>
        </is>
      </c>
    </row>
    <row r="7">
      <c r="A7" s="5" t="n">
        <v>1</v>
      </c>
      <c r="B7" s="6" t="n">
        <v>1073741824</v>
      </c>
      <c r="C7" s="7" t="n">
        <v>0.368662</v>
      </c>
      <c r="D7" s="7" t="n">
        <v>0.372755</v>
      </c>
      <c r="E7" s="7" t="n">
        <v>0.407732</v>
      </c>
      <c r="F7" s="7" t="n">
        <v>0.369441</v>
      </c>
      <c r="G7" s="7" t="n">
        <v>0.386813</v>
      </c>
      <c r="H7" s="7" t="n">
        <v>0.367764</v>
      </c>
      <c r="I7" s="7" t="n">
        <v>0.376672</v>
      </c>
      <c r="J7" s="7" t="n">
        <v>0.387842</v>
      </c>
      <c r="K7" s="7" t="n">
        <v>0.377066</v>
      </c>
      <c r="L7" s="7" t="n">
        <v>0.380368</v>
      </c>
      <c r="M7" s="7">
        <f>AVERAGE(C7:L7)</f>
        <v/>
      </c>
      <c r="N7" s="8">
        <f>$M$7/M7</f>
        <v/>
      </c>
      <c r="O7" s="5">
        <f>A7</f>
        <v/>
      </c>
      <c r="P7" s="9">
        <f>N7/A7</f>
        <v/>
      </c>
      <c r="Q7" s="6" t="n">
        <v>54223961200</v>
      </c>
    </row>
    <row r="8">
      <c r="A8" s="10" t="n">
        <v>2</v>
      </c>
      <c r="B8" s="11" t="n">
        <v>1073741824</v>
      </c>
      <c r="C8" s="12" t="n">
        <v>0.188726</v>
      </c>
      <c r="D8" s="12" t="n">
        <v>0.190635</v>
      </c>
      <c r="E8" s="12" t="n">
        <v>0.189715</v>
      </c>
      <c r="F8" s="12" t="n">
        <v>0.194487</v>
      </c>
      <c r="G8" s="12" t="n">
        <v>0.201673</v>
      </c>
      <c r="H8" s="12" t="n">
        <v>0.190329</v>
      </c>
      <c r="I8" s="12" t="n">
        <v>0.18876</v>
      </c>
      <c r="J8" s="12" t="n">
        <v>0.208508</v>
      </c>
      <c r="K8" s="12" t="n">
        <v>0.194882</v>
      </c>
      <c r="L8" s="12" t="n">
        <v>0.189868</v>
      </c>
      <c r="M8" s="12">
        <f>AVERAGE(C8:L8)</f>
        <v/>
      </c>
      <c r="N8" s="13">
        <f>$M$7/M8</f>
        <v/>
      </c>
      <c r="O8" s="10">
        <f>A8</f>
        <v/>
      </c>
      <c r="P8" s="14">
        <f>N8/A8</f>
        <v/>
      </c>
      <c r="Q8" s="11" t="n">
        <v>54223961200</v>
      </c>
    </row>
    <row r="9">
      <c r="A9" s="5" t="n">
        <v>3</v>
      </c>
      <c r="B9" s="6" t="n">
        <v>1073741824</v>
      </c>
      <c r="C9" s="7" t="n">
        <v>0.207951</v>
      </c>
      <c r="D9" s="7" t="n">
        <v>0.202431</v>
      </c>
      <c r="E9" s="7" t="n">
        <v>0.206148</v>
      </c>
      <c r="F9" s="7" t="n">
        <v>0.202749</v>
      </c>
      <c r="G9" s="7" t="n">
        <v>0.208955</v>
      </c>
      <c r="H9" s="7" t="n">
        <v>0.237745</v>
      </c>
      <c r="I9" s="7" t="n">
        <v>0.211385</v>
      </c>
      <c r="J9" s="7" t="n">
        <v>0.206631</v>
      </c>
      <c r="K9" s="7" t="n">
        <v>0.20751</v>
      </c>
      <c r="L9" s="7" t="n">
        <v>0.207632</v>
      </c>
      <c r="M9" s="7">
        <f>AVERAGE(C9:L9)</f>
        <v/>
      </c>
      <c r="N9" s="8">
        <f>$M$7/M9</f>
        <v/>
      </c>
      <c r="O9" s="5">
        <f>A9</f>
        <v/>
      </c>
      <c r="P9" s="9">
        <f>N9/A9</f>
        <v/>
      </c>
      <c r="Q9" s="6" t="n">
        <v>54223961200</v>
      </c>
    </row>
    <row r="10">
      <c r="A10" s="10" t="n">
        <v>4</v>
      </c>
      <c r="B10" s="11" t="n">
        <v>1073741824</v>
      </c>
      <c r="C10" s="12" t="n">
        <v>0.201187</v>
      </c>
      <c r="D10" s="12" t="n">
        <v>0.221003</v>
      </c>
      <c r="E10" s="12" t="n">
        <v>0.212418</v>
      </c>
      <c r="F10" s="12" t="n">
        <v>0.205094</v>
      </c>
      <c r="G10" s="12" t="n">
        <v>0.199456</v>
      </c>
      <c r="H10" s="12" t="n">
        <v>0.199541</v>
      </c>
      <c r="I10" s="12" t="n">
        <v>0.203416</v>
      </c>
      <c r="J10" s="12" t="n">
        <v>0.214572</v>
      </c>
      <c r="K10" s="12" t="n">
        <v>0.203774</v>
      </c>
      <c r="L10" s="12" t="n">
        <v>0.197894</v>
      </c>
      <c r="M10" s="12">
        <f>AVERAGE(C10:L10)</f>
        <v/>
      </c>
      <c r="N10" s="13">
        <f>$M$7/M10</f>
        <v/>
      </c>
      <c r="O10" s="10">
        <f>A10</f>
        <v/>
      </c>
      <c r="P10" s="14">
        <f>N10/A10</f>
        <v/>
      </c>
      <c r="Q10" s="11" t="n">
        <v>54223961200</v>
      </c>
    </row>
    <row r="11">
      <c r="A11" s="5" t="n">
        <v>5</v>
      </c>
      <c r="B11" s="6" t="n">
        <v>1073741824</v>
      </c>
      <c r="C11" s="7" t="n">
        <v>0.274017</v>
      </c>
      <c r="D11" s="7" t="n">
        <v>0.207459</v>
      </c>
      <c r="E11" s="7" t="n">
        <v>0.200541</v>
      </c>
      <c r="F11" s="7" t="n">
        <v>0.230082</v>
      </c>
      <c r="G11" s="7" t="n">
        <v>0.208406</v>
      </c>
      <c r="H11" s="7" t="n">
        <v>0.21843</v>
      </c>
      <c r="I11" s="7" t="n">
        <v>0.210985</v>
      </c>
      <c r="J11" s="7" t="n">
        <v>0.213796</v>
      </c>
      <c r="K11" s="7" t="n">
        <v>0.229677</v>
      </c>
      <c r="L11" s="7" t="n">
        <v>0.226556</v>
      </c>
      <c r="M11" s="7">
        <f>AVERAGE(C11:L11)</f>
        <v/>
      </c>
      <c r="N11" s="8">
        <f>$M$7/M11</f>
        <v/>
      </c>
      <c r="O11" s="5">
        <f>A11</f>
        <v/>
      </c>
      <c r="P11" s="9">
        <f>N11/A11</f>
        <v/>
      </c>
      <c r="Q11" s="6" t="n">
        <v>54223961200</v>
      </c>
    </row>
    <row r="12">
      <c r="A12" s="10" t="n">
        <v>6</v>
      </c>
      <c r="B12" s="11" t="n">
        <v>1073741824</v>
      </c>
      <c r="C12" s="12" t="n">
        <v>0.215635</v>
      </c>
      <c r="D12" s="12" t="n">
        <v>0.206408</v>
      </c>
      <c r="E12" s="12" t="n">
        <v>0.20153</v>
      </c>
      <c r="F12" s="12" t="n">
        <v>0.201498</v>
      </c>
      <c r="G12" s="12" t="n">
        <v>0.216863</v>
      </c>
      <c r="H12" s="12" t="n">
        <v>0.21325</v>
      </c>
      <c r="I12" s="12" t="n">
        <v>0.210489</v>
      </c>
      <c r="J12" s="12" t="n">
        <v>0.204526</v>
      </c>
      <c r="K12" s="12" t="n">
        <v>0.216297</v>
      </c>
      <c r="L12" s="12" t="n">
        <v>0.214274</v>
      </c>
      <c r="M12" s="12">
        <f>AVERAGE(C12:L12)</f>
        <v/>
      </c>
      <c r="N12" s="13">
        <f>$M$7/M12</f>
        <v/>
      </c>
      <c r="O12" s="10">
        <f>A12</f>
        <v/>
      </c>
      <c r="P12" s="14">
        <f>N12/A12</f>
        <v/>
      </c>
      <c r="Q12" s="11" t="n">
        <v>54223961200</v>
      </c>
    </row>
    <row r="15">
      <c r="A15" s="3" t="inlineStr">
        <is>
          <t>Escalabilidade FRACA – N = p × 2^30/6 (Speedup escalado = p × T1 / Tp)</t>
        </is>
      </c>
    </row>
    <row r="16">
      <c r="A16" s="4" t="inlineStr">
        <is>
          <t>Threads</t>
        </is>
      </c>
      <c r="B16" s="4" t="inlineStr">
        <is>
          <t>N (elementos)</t>
        </is>
      </c>
      <c r="C16" s="4" t="inlineStr">
        <is>
          <t>t1 (s)</t>
        </is>
      </c>
      <c r="D16" s="4" t="inlineStr">
        <is>
          <t>t2 (s)</t>
        </is>
      </c>
      <c r="E16" s="4" t="inlineStr">
        <is>
          <t>t3 (s)</t>
        </is>
      </c>
      <c r="F16" s="4" t="inlineStr">
        <is>
          <t>t4 (s)</t>
        </is>
      </c>
      <c r="G16" s="4" t="inlineStr">
        <is>
          <t>t5 (s)</t>
        </is>
      </c>
      <c r="H16" s="4" t="inlineStr">
        <is>
          <t>t6 (s)</t>
        </is>
      </c>
      <c r="I16" s="4" t="inlineStr">
        <is>
          <t>t7 (s)</t>
        </is>
      </c>
      <c r="J16" s="4" t="inlineStr">
        <is>
          <t>t8 (s)</t>
        </is>
      </c>
      <c r="K16" s="4" t="inlineStr">
        <is>
          <t>t9 (s)</t>
        </is>
      </c>
      <c r="L16" s="4" t="inlineStr">
        <is>
          <t>t10 (s)</t>
        </is>
      </c>
      <c r="M16" s="4" t="inlineStr">
        <is>
          <t>Média (s)</t>
        </is>
      </c>
      <c r="N16" s="4" t="inlineStr">
        <is>
          <t>Speedup escalado</t>
        </is>
      </c>
      <c r="O16" s="4" t="inlineStr">
        <is>
          <t>Ideal</t>
        </is>
      </c>
      <c r="P16" s="4" t="inlineStr">
        <is>
          <t>Eficiência</t>
        </is>
      </c>
      <c r="Q16" s="4" t="inlineStr">
        <is>
          <t>Soma</t>
        </is>
      </c>
    </row>
    <row r="17">
      <c r="A17" s="5" t="n">
        <v>1</v>
      </c>
      <c r="B17" s="6" t="n">
        <v>178956970</v>
      </c>
      <c r="C17" s="7" t="n">
        <v>0.061209</v>
      </c>
      <c r="D17" s="7" t="n">
        <v>0.061996</v>
      </c>
      <c r="E17" s="7" t="n">
        <v>0.068289</v>
      </c>
      <c r="F17" s="7" t="n">
        <v>0.060439</v>
      </c>
      <c r="G17" s="7" t="n">
        <v>0.060937</v>
      </c>
      <c r="H17" s="7" t="n">
        <v>0.060353</v>
      </c>
      <c r="I17" s="7" t="n">
        <v>0.060618</v>
      </c>
      <c r="J17" s="7" t="n">
        <v>0.060583</v>
      </c>
      <c r="K17" s="7" t="n">
        <v>0.060603</v>
      </c>
      <c r="L17" s="7" t="n">
        <v>0.06285499999999999</v>
      </c>
      <c r="M17" s="7">
        <f>AVERAGE(C17:L17)</f>
        <v/>
      </c>
      <c r="N17" s="8">
        <f>A17*$M$17/M17</f>
        <v/>
      </c>
      <c r="O17" s="5">
        <f>A17</f>
        <v/>
      </c>
      <c r="P17" s="9">
        <f>N17/A17</f>
        <v/>
      </c>
      <c r="Q17" s="6" t="n">
        <v>9037325935</v>
      </c>
    </row>
    <row r="18">
      <c r="A18" s="10" t="n">
        <v>2</v>
      </c>
      <c r="B18" s="11" t="n">
        <v>357913940</v>
      </c>
      <c r="C18" s="12" t="n">
        <v>0.083163</v>
      </c>
      <c r="D18" s="12" t="n">
        <v>0.061664</v>
      </c>
      <c r="E18" s="12" t="n">
        <v>0.061605</v>
      </c>
      <c r="F18" s="12" t="n">
        <v>0.062091</v>
      </c>
      <c r="G18" s="12" t="n">
        <v>0.061805</v>
      </c>
      <c r="H18" s="12" t="n">
        <v>0.067386</v>
      </c>
      <c r="I18" s="12" t="n">
        <v>0.062996</v>
      </c>
      <c r="J18" s="12" t="n">
        <v>0.061249</v>
      </c>
      <c r="K18" s="12" t="n">
        <v>0.078796</v>
      </c>
      <c r="L18" s="12" t="n">
        <v>0.06109</v>
      </c>
      <c r="M18" s="12">
        <f>AVERAGE(C18:L18)</f>
        <v/>
      </c>
      <c r="N18" s="13">
        <f>A18*$M$17/M18</f>
        <v/>
      </c>
      <c r="O18" s="10">
        <f>A18</f>
        <v/>
      </c>
      <c r="P18" s="14">
        <f>N18/A18</f>
        <v/>
      </c>
      <c r="Q18" s="11" t="n">
        <v>18074652770</v>
      </c>
    </row>
    <row r="19">
      <c r="A19" s="5" t="n">
        <v>3</v>
      </c>
      <c r="B19" s="6" t="n">
        <v>536870910</v>
      </c>
      <c r="C19" s="7" t="n">
        <v>0.12574</v>
      </c>
      <c r="D19" s="7" t="n">
        <v>0.132101</v>
      </c>
      <c r="E19" s="7" t="n">
        <v>0.107976</v>
      </c>
      <c r="F19" s="7" t="n">
        <v>0.124513</v>
      </c>
      <c r="G19" s="7" t="n">
        <v>0.107585</v>
      </c>
      <c r="H19" s="7" t="n">
        <v>0.109491</v>
      </c>
      <c r="I19" s="7" t="n">
        <v>0.109562</v>
      </c>
      <c r="J19" s="7" t="n">
        <v>0.10951</v>
      </c>
      <c r="K19" s="7" t="n">
        <v>0.108448</v>
      </c>
      <c r="L19" s="7" t="n">
        <v>0.130247</v>
      </c>
      <c r="M19" s="7">
        <f>AVERAGE(C19:L19)</f>
        <v/>
      </c>
      <c r="N19" s="8">
        <f>A19*$M$17/M19</f>
        <v/>
      </c>
      <c r="O19" s="5">
        <f>A19</f>
        <v/>
      </c>
      <c r="P19" s="9">
        <f>N19/A19</f>
        <v/>
      </c>
      <c r="Q19" s="6" t="n">
        <v>27111980505</v>
      </c>
    </row>
    <row r="20">
      <c r="A20" s="10" t="n">
        <v>4</v>
      </c>
      <c r="B20" s="11" t="n">
        <v>715827880</v>
      </c>
      <c r="C20" s="12" t="n">
        <v>0.164165</v>
      </c>
      <c r="D20" s="12" t="n">
        <v>0.14146</v>
      </c>
      <c r="E20" s="12" t="n">
        <v>0.140636</v>
      </c>
      <c r="F20" s="12" t="n">
        <v>0.138261</v>
      </c>
      <c r="G20" s="12" t="n">
        <v>0.138956</v>
      </c>
      <c r="H20" s="12" t="n">
        <v>0.156676</v>
      </c>
      <c r="I20" s="12" t="n">
        <v>0.166352</v>
      </c>
      <c r="J20" s="12" t="n">
        <v>0.137426</v>
      </c>
      <c r="K20" s="12" t="n">
        <v>0.141728</v>
      </c>
      <c r="L20" s="12" t="n">
        <v>0.138014</v>
      </c>
      <c r="M20" s="12">
        <f>AVERAGE(C20:L20)</f>
        <v/>
      </c>
      <c r="N20" s="13">
        <f>A20*$M$17/M20</f>
        <v/>
      </c>
      <c r="O20" s="10">
        <f>A20</f>
        <v/>
      </c>
      <c r="P20" s="14">
        <f>N20/A20</f>
        <v/>
      </c>
      <c r="Q20" s="11" t="n">
        <v>36149307140</v>
      </c>
    </row>
    <row r="21">
      <c r="A21" s="5" t="n">
        <v>5</v>
      </c>
      <c r="B21" s="6" t="n">
        <v>894784850</v>
      </c>
      <c r="C21" s="7" t="n">
        <v>0.170953</v>
      </c>
      <c r="D21" s="7" t="n">
        <v>0.169356</v>
      </c>
      <c r="E21" s="7" t="n">
        <v>0.170068</v>
      </c>
      <c r="F21" s="7" t="n">
        <v>0.170677</v>
      </c>
      <c r="G21" s="7" t="n">
        <v>0.180089</v>
      </c>
      <c r="H21" s="7" t="n">
        <v>0.181341</v>
      </c>
      <c r="I21" s="7" t="n">
        <v>0.195152</v>
      </c>
      <c r="J21" s="7" t="n">
        <v>0.180378</v>
      </c>
      <c r="K21" s="7" t="n">
        <v>0.172643</v>
      </c>
      <c r="L21" s="7" t="n">
        <v>0.215321</v>
      </c>
      <c r="M21" s="7">
        <f>AVERAGE(C21:L21)</f>
        <v/>
      </c>
      <c r="N21" s="8">
        <f>A21*$M$17/M21</f>
        <v/>
      </c>
      <c r="O21" s="5">
        <f>A21</f>
        <v/>
      </c>
      <c r="P21" s="9">
        <f>N21/A21</f>
        <v/>
      </c>
      <c r="Q21" s="6" t="n">
        <v>45186633675</v>
      </c>
    </row>
    <row r="22">
      <c r="A22" s="10" t="n">
        <v>6</v>
      </c>
      <c r="B22" s="11" t="n">
        <v>1073741820</v>
      </c>
      <c r="C22" s="12" t="n">
        <v>0.206814</v>
      </c>
      <c r="D22" s="12" t="n">
        <v>0.203989</v>
      </c>
      <c r="E22" s="12" t="n">
        <v>0.213352</v>
      </c>
      <c r="F22" s="12" t="n">
        <v>0.242539</v>
      </c>
      <c r="G22" s="12" t="n">
        <v>0.208712</v>
      </c>
      <c r="H22" s="12" t="n">
        <v>0.208539</v>
      </c>
      <c r="I22" s="12" t="n">
        <v>0.236853</v>
      </c>
      <c r="J22" s="12" t="n">
        <v>0.232718</v>
      </c>
      <c r="K22" s="12" t="n">
        <v>0.213049</v>
      </c>
      <c r="L22" s="12" t="n">
        <v>0.211845</v>
      </c>
      <c r="M22" s="12">
        <f>AVERAGE(C22:L22)</f>
        <v/>
      </c>
      <c r="N22" s="13">
        <f>A22*$M$17/M22</f>
        <v/>
      </c>
      <c r="O22" s="10">
        <f>A22</f>
        <v/>
      </c>
      <c r="P22" s="14">
        <f>N22/A22</f>
        <v/>
      </c>
      <c r="Q22" s="11" t="n">
        <v>54223961110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6" customWidth="1" min="14" max="14"/>
    <col width="7" customWidth="1" min="15" max="15"/>
    <col width="11" customWidth="1" min="16" max="16"/>
    <col width="16" customWidth="1" min="17" max="17"/>
  </cols>
  <sheetData>
    <row r="1">
      <c r="A1" s="1" t="inlineStr">
        <is>
          <t>Exercício 2 – Somatório de vetor – Versão B – parallel for + reduction</t>
        </is>
      </c>
    </row>
    <row r="2">
      <c r="A2" s="2" t="inlineStr">
        <is>
          <t>Ambiente: GitHub Codespaces – AMD EPYC 7763, 2 núcleos físicos com SMT (4 threads de hardware), 16 GB RAM – gcc -O2 -fopenmp</t>
        </is>
      </c>
    </row>
    <row r="3">
      <c r="A3" s="2" t="inlineStr">
        <is>
          <t>Cada valor de tempo é uma execução; Média = média das 10 execuções.</t>
        </is>
      </c>
    </row>
    <row r="5">
      <c r="A5" s="3" t="inlineStr">
        <is>
          <t>Escalabilidade FORTE – N fixo = 2^30 (Speedup = T1 / Tp)</t>
        </is>
      </c>
    </row>
    <row r="6">
      <c r="A6" s="4" t="inlineStr">
        <is>
          <t>Threads</t>
        </is>
      </c>
      <c r="B6" s="4" t="inlineStr">
        <is>
          <t>N (elementos)</t>
        </is>
      </c>
      <c r="C6" s="4" t="inlineStr">
        <is>
          <t>t1 (s)</t>
        </is>
      </c>
      <c r="D6" s="4" t="inlineStr">
        <is>
          <t>t2 (s)</t>
        </is>
      </c>
      <c r="E6" s="4" t="inlineStr">
        <is>
          <t>t3 (s)</t>
        </is>
      </c>
      <c r="F6" s="4" t="inlineStr">
        <is>
          <t>t4 (s)</t>
        </is>
      </c>
      <c r="G6" s="4" t="inlineStr">
        <is>
          <t>t5 (s)</t>
        </is>
      </c>
      <c r="H6" s="4" t="inlineStr">
        <is>
          <t>t6 (s)</t>
        </is>
      </c>
      <c r="I6" s="4" t="inlineStr">
        <is>
          <t>t7 (s)</t>
        </is>
      </c>
      <c r="J6" s="4" t="inlineStr">
        <is>
          <t>t8 (s)</t>
        </is>
      </c>
      <c r="K6" s="4" t="inlineStr">
        <is>
          <t>t9 (s)</t>
        </is>
      </c>
      <c r="L6" s="4" t="inlineStr">
        <is>
          <t>t10 (s)</t>
        </is>
      </c>
      <c r="M6" s="4" t="inlineStr">
        <is>
          <t>Média (s)</t>
        </is>
      </c>
      <c r="N6" s="4" t="inlineStr">
        <is>
          <t>Speedup forte</t>
        </is>
      </c>
      <c r="O6" s="4" t="inlineStr">
        <is>
          <t>Ideal</t>
        </is>
      </c>
      <c r="P6" s="4" t="inlineStr">
        <is>
          <t>Eficiência</t>
        </is>
      </c>
      <c r="Q6" s="4" t="inlineStr">
        <is>
          <t>Soma</t>
        </is>
      </c>
    </row>
    <row r="7">
      <c r="A7" s="5" t="n">
        <v>1</v>
      </c>
      <c r="B7" s="6" t="n">
        <v>1073741824</v>
      </c>
      <c r="C7" s="7" t="n">
        <v>0.375879</v>
      </c>
      <c r="D7" s="7" t="n">
        <v>0.375283</v>
      </c>
      <c r="E7" s="7" t="n">
        <v>0.377368</v>
      </c>
      <c r="F7" s="7" t="n">
        <v>0.36931</v>
      </c>
      <c r="G7" s="7" t="n">
        <v>0.424412</v>
      </c>
      <c r="H7" s="7" t="n">
        <v>0.410738</v>
      </c>
      <c r="I7" s="7" t="n">
        <v>0.405065</v>
      </c>
      <c r="J7" s="7" t="n">
        <v>0.395799</v>
      </c>
      <c r="K7" s="7" t="n">
        <v>0.388065</v>
      </c>
      <c r="L7" s="7" t="n">
        <v>0.399235</v>
      </c>
      <c r="M7" s="7">
        <f>AVERAGE(C7:L7)</f>
        <v/>
      </c>
      <c r="N7" s="8">
        <f>$M$7/M7</f>
        <v/>
      </c>
      <c r="O7" s="5">
        <f>A7</f>
        <v/>
      </c>
      <c r="P7" s="9">
        <f>N7/A7</f>
        <v/>
      </c>
      <c r="Q7" s="6" t="n">
        <v>54223961200</v>
      </c>
    </row>
    <row r="8">
      <c r="A8" s="10" t="n">
        <v>2</v>
      </c>
      <c r="B8" s="11" t="n">
        <v>1073741824</v>
      </c>
      <c r="C8" s="12" t="n">
        <v>0.200069</v>
      </c>
      <c r="D8" s="12" t="n">
        <v>0.18936</v>
      </c>
      <c r="E8" s="12" t="n">
        <v>0.188822</v>
      </c>
      <c r="F8" s="12" t="n">
        <v>0.209276</v>
      </c>
      <c r="G8" s="12" t="n">
        <v>0.217709</v>
      </c>
      <c r="H8" s="12" t="n">
        <v>0.189243</v>
      </c>
      <c r="I8" s="12" t="n">
        <v>0.18698</v>
      </c>
      <c r="J8" s="12" t="n">
        <v>0.185393</v>
      </c>
      <c r="K8" s="12" t="n">
        <v>0.186643</v>
      </c>
      <c r="L8" s="12" t="n">
        <v>0.19808</v>
      </c>
      <c r="M8" s="12">
        <f>AVERAGE(C8:L8)</f>
        <v/>
      </c>
      <c r="N8" s="13">
        <f>$M$7/M8</f>
        <v/>
      </c>
      <c r="O8" s="10">
        <f>A8</f>
        <v/>
      </c>
      <c r="P8" s="14">
        <f>N8/A8</f>
        <v/>
      </c>
      <c r="Q8" s="11" t="n">
        <v>54223961200</v>
      </c>
    </row>
    <row r="9">
      <c r="A9" s="5" t="n">
        <v>3</v>
      </c>
      <c r="B9" s="6" t="n">
        <v>1073741824</v>
      </c>
      <c r="C9" s="7" t="n">
        <v>0.218855</v>
      </c>
      <c r="D9" s="7" t="n">
        <v>0.209513</v>
      </c>
      <c r="E9" s="7" t="n">
        <v>0.201851</v>
      </c>
      <c r="F9" s="7" t="n">
        <v>0.232328</v>
      </c>
      <c r="G9" s="7" t="n">
        <v>0.210022</v>
      </c>
      <c r="H9" s="7" t="n">
        <v>0.223147</v>
      </c>
      <c r="I9" s="7" t="n">
        <v>0.204216</v>
      </c>
      <c r="J9" s="7" t="n">
        <v>0.194208</v>
      </c>
      <c r="K9" s="7" t="n">
        <v>0.207658</v>
      </c>
      <c r="L9" s="7" t="n">
        <v>0.200633</v>
      </c>
      <c r="M9" s="7">
        <f>AVERAGE(C9:L9)</f>
        <v/>
      </c>
      <c r="N9" s="8">
        <f>$M$7/M9</f>
        <v/>
      </c>
      <c r="O9" s="5">
        <f>A9</f>
        <v/>
      </c>
      <c r="P9" s="9">
        <f>N9/A9</f>
        <v/>
      </c>
      <c r="Q9" s="6" t="n">
        <v>54223961200</v>
      </c>
    </row>
    <row r="10">
      <c r="A10" s="10" t="n">
        <v>4</v>
      </c>
      <c r="B10" s="11" t="n">
        <v>1073741824</v>
      </c>
      <c r="C10" s="12" t="n">
        <v>0.193585</v>
      </c>
      <c r="D10" s="12" t="n">
        <v>0.194222</v>
      </c>
      <c r="E10" s="12" t="n">
        <v>0.191258</v>
      </c>
      <c r="F10" s="12" t="n">
        <v>0.22314</v>
      </c>
      <c r="G10" s="12" t="n">
        <v>0.204835</v>
      </c>
      <c r="H10" s="12" t="n">
        <v>0.193942</v>
      </c>
      <c r="I10" s="12" t="n">
        <v>0.192036</v>
      </c>
      <c r="J10" s="12" t="n">
        <v>0.207851</v>
      </c>
      <c r="K10" s="12" t="n">
        <v>0.208802</v>
      </c>
      <c r="L10" s="12" t="n">
        <v>0.194517</v>
      </c>
      <c r="M10" s="12">
        <f>AVERAGE(C10:L10)</f>
        <v/>
      </c>
      <c r="N10" s="13">
        <f>$M$7/M10</f>
        <v/>
      </c>
      <c r="O10" s="10">
        <f>A10</f>
        <v/>
      </c>
      <c r="P10" s="14">
        <f>N10/A10</f>
        <v/>
      </c>
      <c r="Q10" s="11" t="n">
        <v>54223961200</v>
      </c>
    </row>
    <row r="11">
      <c r="A11" s="5" t="n">
        <v>5</v>
      </c>
      <c r="B11" s="6" t="n">
        <v>1073741824</v>
      </c>
      <c r="C11" s="7" t="n">
        <v>0.197535</v>
      </c>
      <c r="D11" s="7" t="n">
        <v>0.203582</v>
      </c>
      <c r="E11" s="7" t="n">
        <v>0.202694</v>
      </c>
      <c r="F11" s="7" t="n">
        <v>0.194093</v>
      </c>
      <c r="G11" s="7" t="n">
        <v>0.217073</v>
      </c>
      <c r="H11" s="7" t="n">
        <v>0.22432</v>
      </c>
      <c r="I11" s="7" t="n">
        <v>0.208855</v>
      </c>
      <c r="J11" s="7" t="n">
        <v>0.210981</v>
      </c>
      <c r="K11" s="7" t="n">
        <v>0.194456</v>
      </c>
      <c r="L11" s="7" t="n">
        <v>0.193338</v>
      </c>
      <c r="M11" s="7">
        <f>AVERAGE(C11:L11)</f>
        <v/>
      </c>
      <c r="N11" s="8">
        <f>$M$7/M11</f>
        <v/>
      </c>
      <c r="O11" s="5">
        <f>A11</f>
        <v/>
      </c>
      <c r="P11" s="9">
        <f>N11/A11</f>
        <v/>
      </c>
      <c r="Q11" s="6" t="n">
        <v>54223961200</v>
      </c>
    </row>
    <row r="12">
      <c r="A12" s="10" t="n">
        <v>6</v>
      </c>
      <c r="B12" s="11" t="n">
        <v>1073741824</v>
      </c>
      <c r="C12" s="12" t="n">
        <v>0.19337</v>
      </c>
      <c r="D12" s="12" t="n">
        <v>0.191935</v>
      </c>
      <c r="E12" s="12" t="n">
        <v>0.212214</v>
      </c>
      <c r="F12" s="12" t="n">
        <v>0.219479</v>
      </c>
      <c r="G12" s="12" t="n">
        <v>0.191005</v>
      </c>
      <c r="H12" s="12" t="n">
        <v>0.191471</v>
      </c>
      <c r="I12" s="12" t="n">
        <v>0.191372</v>
      </c>
      <c r="J12" s="12" t="n">
        <v>0.191916</v>
      </c>
      <c r="K12" s="12" t="n">
        <v>0.201627</v>
      </c>
      <c r="L12" s="12" t="n">
        <v>0.192567</v>
      </c>
      <c r="M12" s="12">
        <f>AVERAGE(C12:L12)</f>
        <v/>
      </c>
      <c r="N12" s="13">
        <f>$M$7/M12</f>
        <v/>
      </c>
      <c r="O12" s="10">
        <f>A12</f>
        <v/>
      </c>
      <c r="P12" s="14">
        <f>N12/A12</f>
        <v/>
      </c>
      <c r="Q12" s="11" t="n">
        <v>54223961200</v>
      </c>
    </row>
    <row r="15">
      <c r="A15" s="3" t="inlineStr">
        <is>
          <t>Escalabilidade FRACA – N = p × 2^30/6 (Speedup escalado = p × T1 / Tp)</t>
        </is>
      </c>
    </row>
    <row r="16">
      <c r="A16" s="4" t="inlineStr">
        <is>
          <t>Threads</t>
        </is>
      </c>
      <c r="B16" s="4" t="inlineStr">
        <is>
          <t>N (elementos)</t>
        </is>
      </c>
      <c r="C16" s="4" t="inlineStr">
        <is>
          <t>t1 (s)</t>
        </is>
      </c>
      <c r="D16" s="4" t="inlineStr">
        <is>
          <t>t2 (s)</t>
        </is>
      </c>
      <c r="E16" s="4" t="inlineStr">
        <is>
          <t>t3 (s)</t>
        </is>
      </c>
      <c r="F16" s="4" t="inlineStr">
        <is>
          <t>t4 (s)</t>
        </is>
      </c>
      <c r="G16" s="4" t="inlineStr">
        <is>
          <t>t5 (s)</t>
        </is>
      </c>
      <c r="H16" s="4" t="inlineStr">
        <is>
          <t>t6 (s)</t>
        </is>
      </c>
      <c r="I16" s="4" t="inlineStr">
        <is>
          <t>t7 (s)</t>
        </is>
      </c>
      <c r="J16" s="4" t="inlineStr">
        <is>
          <t>t8 (s)</t>
        </is>
      </c>
      <c r="K16" s="4" t="inlineStr">
        <is>
          <t>t9 (s)</t>
        </is>
      </c>
      <c r="L16" s="4" t="inlineStr">
        <is>
          <t>t10 (s)</t>
        </is>
      </c>
      <c r="M16" s="4" t="inlineStr">
        <is>
          <t>Média (s)</t>
        </is>
      </c>
      <c r="N16" s="4" t="inlineStr">
        <is>
          <t>Speedup escalado</t>
        </is>
      </c>
      <c r="O16" s="4" t="inlineStr">
        <is>
          <t>Ideal</t>
        </is>
      </c>
      <c r="P16" s="4" t="inlineStr">
        <is>
          <t>Eficiência</t>
        </is>
      </c>
      <c r="Q16" s="4" t="inlineStr">
        <is>
          <t>Soma</t>
        </is>
      </c>
    </row>
    <row r="17">
      <c r="A17" s="5" t="n">
        <v>1</v>
      </c>
      <c r="B17" s="6" t="n">
        <v>178956970</v>
      </c>
      <c r="C17" s="7" t="n">
        <v>0.06909999999999999</v>
      </c>
      <c r="D17" s="7" t="n">
        <v>0.06335399999999999</v>
      </c>
      <c r="E17" s="7" t="n">
        <v>0.060452</v>
      </c>
      <c r="F17" s="7" t="n">
        <v>0.060833</v>
      </c>
      <c r="G17" s="7" t="n">
        <v>0.060291</v>
      </c>
      <c r="H17" s="7" t="n">
        <v>0.0653</v>
      </c>
      <c r="I17" s="7" t="n">
        <v>0.066467</v>
      </c>
      <c r="J17" s="7" t="n">
        <v>0.061466</v>
      </c>
      <c r="K17" s="7" t="n">
        <v>0.061499</v>
      </c>
      <c r="L17" s="7" t="n">
        <v>0.06053</v>
      </c>
      <c r="M17" s="7">
        <f>AVERAGE(C17:L17)</f>
        <v/>
      </c>
      <c r="N17" s="8">
        <f>A17*$M$17/M17</f>
        <v/>
      </c>
      <c r="O17" s="5">
        <f>A17</f>
        <v/>
      </c>
      <c r="P17" s="9">
        <f>N17/A17</f>
        <v/>
      </c>
      <c r="Q17" s="6" t="n">
        <v>9037325935</v>
      </c>
    </row>
    <row r="18">
      <c r="A18" s="10" t="n">
        <v>2</v>
      </c>
      <c r="B18" s="11" t="n">
        <v>357913940</v>
      </c>
      <c r="C18" s="12" t="n">
        <v>0.060964</v>
      </c>
      <c r="D18" s="12" t="n">
        <v>0.06039</v>
      </c>
      <c r="E18" s="12" t="n">
        <v>0.060701</v>
      </c>
      <c r="F18" s="12" t="n">
        <v>0.06275799999999999</v>
      </c>
      <c r="G18" s="12" t="n">
        <v>0.060241</v>
      </c>
      <c r="H18" s="12" t="n">
        <v>0.062143</v>
      </c>
      <c r="I18" s="12" t="n">
        <v>0.060452</v>
      </c>
      <c r="J18" s="12" t="n">
        <v>0.06299</v>
      </c>
      <c r="K18" s="12" t="n">
        <v>0.064469</v>
      </c>
      <c r="L18" s="12" t="n">
        <v>0.087271</v>
      </c>
      <c r="M18" s="12">
        <f>AVERAGE(C18:L18)</f>
        <v/>
      </c>
      <c r="N18" s="13">
        <f>A18*$M$17/M18</f>
        <v/>
      </c>
      <c r="O18" s="10">
        <f>A18</f>
        <v/>
      </c>
      <c r="P18" s="14">
        <f>N18/A18</f>
        <v/>
      </c>
      <c r="Q18" s="11" t="n">
        <v>18074652770</v>
      </c>
    </row>
    <row r="19">
      <c r="A19" s="5" t="n">
        <v>3</v>
      </c>
      <c r="B19" s="6" t="n">
        <v>536870910</v>
      </c>
      <c r="C19" s="7" t="n">
        <v>0.131392</v>
      </c>
      <c r="D19" s="7" t="n">
        <v>0.114527</v>
      </c>
      <c r="E19" s="7" t="n">
        <v>0.145287</v>
      </c>
      <c r="F19" s="7" t="n">
        <v>0.106013</v>
      </c>
      <c r="G19" s="7" t="n">
        <v>0.107379</v>
      </c>
      <c r="H19" s="7" t="n">
        <v>0.108351</v>
      </c>
      <c r="I19" s="7" t="n">
        <v>0.112187</v>
      </c>
      <c r="J19" s="7" t="n">
        <v>0.132074</v>
      </c>
      <c r="K19" s="7" t="n">
        <v>0.145001</v>
      </c>
      <c r="L19" s="7" t="n">
        <v>0.106698</v>
      </c>
      <c r="M19" s="7">
        <f>AVERAGE(C19:L19)</f>
        <v/>
      </c>
      <c r="N19" s="8">
        <f>A19*$M$17/M19</f>
        <v/>
      </c>
      <c r="O19" s="5">
        <f>A19</f>
        <v/>
      </c>
      <c r="P19" s="9">
        <f>N19/A19</f>
        <v/>
      </c>
      <c r="Q19" s="6" t="n">
        <v>27111980505</v>
      </c>
    </row>
    <row r="20">
      <c r="A20" s="10" t="n">
        <v>4</v>
      </c>
      <c r="B20" s="11" t="n">
        <v>715827880</v>
      </c>
      <c r="C20" s="12" t="n">
        <v>0.130158</v>
      </c>
      <c r="D20" s="12" t="n">
        <v>0.13957</v>
      </c>
      <c r="E20" s="12" t="n">
        <v>0.13409</v>
      </c>
      <c r="F20" s="12" t="n">
        <v>0.130874</v>
      </c>
      <c r="G20" s="12" t="n">
        <v>0.131386</v>
      </c>
      <c r="H20" s="12" t="n">
        <v>0.139163</v>
      </c>
      <c r="I20" s="12" t="n">
        <v>0.151074</v>
      </c>
      <c r="J20" s="12" t="n">
        <v>0.130863</v>
      </c>
      <c r="K20" s="12" t="n">
        <v>0.139099</v>
      </c>
      <c r="L20" s="12" t="n">
        <v>0.128818</v>
      </c>
      <c r="M20" s="12">
        <f>AVERAGE(C20:L20)</f>
        <v/>
      </c>
      <c r="N20" s="13">
        <f>A20*$M$17/M20</f>
        <v/>
      </c>
      <c r="O20" s="10">
        <f>A20</f>
        <v/>
      </c>
      <c r="P20" s="14">
        <f>N20/A20</f>
        <v/>
      </c>
      <c r="Q20" s="11" t="n">
        <v>36149307140</v>
      </c>
    </row>
    <row r="21">
      <c r="A21" s="5" t="n">
        <v>5</v>
      </c>
      <c r="B21" s="6" t="n">
        <v>894784850</v>
      </c>
      <c r="C21" s="7" t="n">
        <v>0.167569</v>
      </c>
      <c r="D21" s="7" t="n">
        <v>0.181584</v>
      </c>
      <c r="E21" s="7" t="n">
        <v>0.168822</v>
      </c>
      <c r="F21" s="7" t="n">
        <v>0.163327</v>
      </c>
      <c r="G21" s="7" t="n">
        <v>0.169306</v>
      </c>
      <c r="H21" s="7" t="n">
        <v>0.17251</v>
      </c>
      <c r="I21" s="7" t="n">
        <v>0.18229</v>
      </c>
      <c r="J21" s="7" t="n">
        <v>0.181587</v>
      </c>
      <c r="K21" s="7" t="n">
        <v>0.177697</v>
      </c>
      <c r="L21" s="7" t="n">
        <v>0.188636</v>
      </c>
      <c r="M21" s="7">
        <f>AVERAGE(C21:L21)</f>
        <v/>
      </c>
      <c r="N21" s="8">
        <f>A21*$M$17/M21</f>
        <v/>
      </c>
      <c r="O21" s="5">
        <f>A21</f>
        <v/>
      </c>
      <c r="P21" s="9">
        <f>N21/A21</f>
        <v/>
      </c>
      <c r="Q21" s="6" t="n">
        <v>45186633675</v>
      </c>
    </row>
    <row r="22">
      <c r="A22" s="10" t="n">
        <v>6</v>
      </c>
      <c r="B22" s="11" t="n">
        <v>1073741820</v>
      </c>
      <c r="C22" s="12" t="n">
        <v>0.200793</v>
      </c>
      <c r="D22" s="12" t="n">
        <v>0.222286</v>
      </c>
      <c r="E22" s="12" t="n">
        <v>0.211386</v>
      </c>
      <c r="F22" s="12" t="n">
        <v>0.203414</v>
      </c>
      <c r="G22" s="12" t="n">
        <v>0.199254</v>
      </c>
      <c r="H22" s="12" t="n">
        <v>0.207915</v>
      </c>
      <c r="I22" s="12" t="n">
        <v>0.195469</v>
      </c>
      <c r="J22" s="12" t="n">
        <v>0.206275</v>
      </c>
      <c r="K22" s="12" t="n">
        <v>0.194021</v>
      </c>
      <c r="L22" s="12" t="n">
        <v>0.197076</v>
      </c>
      <c r="M22" s="12">
        <f>AVERAGE(C22:L22)</f>
        <v/>
      </c>
      <c r="N22" s="13">
        <f>A22*$M$17/M22</f>
        <v/>
      </c>
      <c r="O22" s="10">
        <f>A22</f>
        <v/>
      </c>
      <c r="P22" s="14">
        <f>N22/A22</f>
        <v/>
      </c>
      <c r="Q22" s="11" t="n">
        <v>54223961110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2026-10-16T17:39:14Z</dcterms:created>
  <dcterms:modified xsi:type="dcterms:W3CDTF">2026-10-16T17:39:14Z</dcterms:modified>
</cp:coreProperties>
</file>